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filterPrivacy="1" codeName="ThisWorkbook" defaultThemeVersion="124226"/>
  <xr:revisionPtr revIDLastSave="80" documentId="13_ncr:1_{281B6DAB-753C-4E24-A0B3-3620515F654E}" xr6:coauthVersionLast="47" xr6:coauthVersionMax="47" xr10:uidLastSave="{A2B3B3F0-01FC-483F-AA36-9BB601AF1B20}"/>
  <bookViews>
    <workbookView xWindow="-120" yWindow="-120" windowWidth="29040" windowHeight="15840" activeTab="1" xr2:uid="{00000000-000D-0000-FFFF-FFFF00000000}"/>
  </bookViews>
  <sheets>
    <sheet name="Input" sheetId="1" r:id="rId1"/>
    <sheet name="Financial projection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3" l="1"/>
  <c r="C20" i="3" l="1"/>
  <c r="D20" i="3" s="1"/>
  <c r="D24" i="3" s="1"/>
  <c r="D13" i="3"/>
  <c r="E8" i="3"/>
  <c r="F8" i="3" s="1"/>
  <c r="G8" i="3" s="1"/>
  <c r="H8" i="3" s="1"/>
  <c r="B30" i="3"/>
  <c r="B21" i="3"/>
  <c r="H13" i="3"/>
  <c r="G13" i="3"/>
  <c r="F13" i="3"/>
  <c r="E13" i="3"/>
  <c r="B10" i="3"/>
  <c r="B22" i="1"/>
  <c r="B21" i="1"/>
  <c r="B20" i="1"/>
  <c r="B8" i="1"/>
  <c r="C6" i="3"/>
  <c r="C9" i="3" s="1"/>
  <c r="B5" i="3"/>
  <c r="C22" i="3" l="1"/>
  <c r="D22" i="3"/>
  <c r="D25" i="3"/>
  <c r="E20" i="3"/>
  <c r="E24" i="3" s="1"/>
  <c r="C11" i="3"/>
  <c r="D6" i="3"/>
  <c r="D9" i="3" s="1"/>
  <c r="D11" i="3" s="1"/>
  <c r="E22" i="3" l="1"/>
  <c r="D29" i="3"/>
  <c r="F20" i="3"/>
  <c r="E25" i="3"/>
  <c r="E6" i="3"/>
  <c r="F22" i="3" l="1"/>
  <c r="F24" i="3"/>
  <c r="F25" i="3" s="1"/>
  <c r="F6" i="3"/>
  <c r="E9" i="3"/>
  <c r="E11" i="3" s="1"/>
  <c r="E29" i="3" s="1"/>
  <c r="B31" i="3" s="1"/>
  <c r="G20" i="3"/>
  <c r="G22" i="3" l="1"/>
  <c r="G24" i="3"/>
  <c r="G25" i="3"/>
  <c r="H20" i="3"/>
  <c r="H24" i="3" s="1"/>
  <c r="G6" i="3"/>
  <c r="F9" i="3"/>
  <c r="F11" i="3" s="1"/>
  <c r="F29" i="3" s="1"/>
  <c r="H25" i="3" l="1"/>
  <c r="H22" i="3"/>
  <c r="H6" i="3"/>
  <c r="H9" i="3" s="1"/>
  <c r="H11" i="3" s="1"/>
  <c r="G9" i="3"/>
  <c r="G11" i="3" s="1"/>
  <c r="G29" i="3" s="1"/>
  <c r="H29" i="3" l="1"/>
  <c r="B32" i="3" s="1"/>
</calcChain>
</file>

<file path=xl/sharedStrings.xml><?xml version="1.0" encoding="utf-8"?>
<sst xmlns="http://schemas.openxmlformats.org/spreadsheetml/2006/main" count="64" uniqueCount="54">
  <si>
    <t>Exhibit 5</t>
  </si>
  <si>
    <t>Source</t>
  </si>
  <si>
    <t>Input data from case</t>
  </si>
  <si>
    <t>Incremental Sales General &amp; Administration Costs</t>
  </si>
  <si>
    <t>Initial Market Share for MM Light in East Central Light Beer Market</t>
  </si>
  <si>
    <t>Growth in Market Share for MM Light in East Central Light Beer Market</t>
  </si>
  <si>
    <t>Advertising Cost of MM Light (first 6 months)</t>
  </si>
  <si>
    <t>Case Fact Page 7</t>
  </si>
  <si>
    <t>Contribution per barrel of MM Light</t>
  </si>
  <si>
    <t>Contribution per barrel of MM Light sold</t>
  </si>
  <si>
    <t>Revenue per barrel of MM Lager</t>
  </si>
  <si>
    <t>#Barrels of MM Lager</t>
  </si>
  <si>
    <t>Discount rate</t>
  </si>
  <si>
    <t>Variable cost per barrel MM Lager</t>
  </si>
  <si>
    <t>Annual %change East Central light beer market</t>
  </si>
  <si>
    <t>2005 light beer consumption (barrels) in East Central market</t>
  </si>
  <si>
    <t>Annual %change in MM Lager revenues</t>
  </si>
  <si>
    <t>Revenues from MM Lager in 2005</t>
  </si>
  <si>
    <t>Contribution per barrel of MM Lager (revenue minus variable cost)</t>
  </si>
  <si>
    <t>Mountain Man Beer</t>
  </si>
  <si>
    <t>MM Lager %sales loss from introduction of MM Light</t>
  </si>
  <si>
    <t>Contribution from MM Light</t>
  </si>
  <si>
    <t>Incremental variable cost of MM Light (if launched)</t>
  </si>
  <si>
    <t>Annual %change in total market size</t>
  </si>
  <si>
    <t>Growth in market share for MM Light</t>
  </si>
  <si>
    <t>Total market size (barrels)</t>
  </si>
  <si>
    <t>Market share for MM Light</t>
  </si>
  <si>
    <t>Barrels sold MM Light</t>
  </si>
  <si>
    <t>Contribution of MM Light per barrel</t>
  </si>
  <si>
    <t>East Central light beer market</t>
  </si>
  <si>
    <t>Contribution from sales of MM Light</t>
  </si>
  <si>
    <t>MM Lager sales (barrels) if MM Light not launched</t>
  </si>
  <si>
    <t>Loss in MM Lager contribution due to MM Light</t>
  </si>
  <si>
    <t>Net change in contribution</t>
  </si>
  <si>
    <t>NPV projections 2006-2010</t>
  </si>
  <si>
    <t>NPV</t>
  </si>
  <si>
    <t>Incremental cost associated with launching MM Light</t>
  </si>
  <si>
    <t>Case Fact Page 6</t>
  </si>
  <si>
    <t>Case Fact Page 2</t>
  </si>
  <si>
    <t>Case Fact Page 7 n.12</t>
  </si>
  <si>
    <t>Exhibit 1</t>
  </si>
  <si>
    <t>Case Fact Page 2 and Exhibit 1</t>
  </si>
  <si>
    <t>Case Fact Pages 2, 6 and Exhibit 1</t>
  </si>
  <si>
    <t>MM Lager sales (barrels) if MM Light is Launched</t>
  </si>
  <si>
    <t>MM Lager Contribution if MM Light not launched</t>
  </si>
  <si>
    <t xml:space="preserve">MM Lager Contribution per Barrel </t>
  </si>
  <si>
    <t>MM Lager Contribution if MM Light Launched</t>
  </si>
  <si>
    <t>Discount Rate</t>
  </si>
  <si>
    <t>NPV of Net Change in Contribution for 5 Years</t>
  </si>
  <si>
    <t>NPV of Net Change in Contribution for 2 Years</t>
  </si>
  <si>
    <t>S.No</t>
  </si>
  <si>
    <t>MM Lager % Annual sales loss from introduction of MM light</t>
  </si>
  <si>
    <t>NPV - 5 Years</t>
  </si>
  <si>
    <t>Incremental growth in market share for MM light from 2006 onwards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</si>
</sst>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_);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&quot;$&quot;#,##0.00"/>
    <numFmt numFmtId="168" formatCode="&quot;$&quot;#,##0"/>
    <numFmt numFmtId="169" formatCode="0.0%"/>
    <numFmt numFmtId="170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55">
    <xf numFmtId="0" fontId="0" fillId="0" borderId="0" xfId="0"/>
    <xf numFmtId="0" fontId="1" fillId="0" borderId="0" xfId="0" applyFont="1"/>
    <xf numFmtId="0" fontId="2" fillId="0" borderId="1" xfId="0" applyFont="1" applyBorder="1"/>
    <xf numFmtId="0" fontId="0" fillId="0" borderId="1" xfId="0" quotePrefix="1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0" xfId="0" applyFont="1"/>
    <xf numFmtId="0" fontId="3" fillId="0" borderId="1" xfId="0" applyFont="1" applyBorder="1" applyAlignment="1"/>
    <xf numFmtId="0" fontId="3" fillId="0" borderId="1" xfId="0" quotePrefix="1" applyFont="1" applyBorder="1" applyAlignment="1">
      <alignment horizontal="left"/>
    </xf>
    <xf numFmtId="0" fontId="3" fillId="0" borderId="1" xfId="0" applyFont="1" applyBorder="1"/>
    <xf numFmtId="0" fontId="4" fillId="0" borderId="0" xfId="0" applyFont="1" applyFill="1" applyBorder="1"/>
    <xf numFmtId="3" fontId="0" fillId="0" borderId="0" xfId="0" applyNumberFormat="1" applyFont="1"/>
    <xf numFmtId="9" fontId="0" fillId="0" borderId="0" xfId="0" applyNumberFormat="1" applyFont="1"/>
    <xf numFmtId="167" fontId="0" fillId="0" borderId="0" xfId="0" applyNumberFormat="1" applyFont="1"/>
    <xf numFmtId="168" fontId="0" fillId="0" borderId="0" xfId="0" applyNumberFormat="1" applyFont="1"/>
    <xf numFmtId="168" fontId="0" fillId="2" borderId="0" xfId="0" applyNumberFormat="1" applyFont="1" applyFill="1"/>
    <xf numFmtId="9" fontId="0" fillId="2" borderId="0" xfId="0" applyNumberFormat="1" applyFont="1" applyFill="1"/>
    <xf numFmtId="3" fontId="0" fillId="2" borderId="0" xfId="0" applyNumberFormat="1" applyFont="1" applyFill="1"/>
    <xf numFmtId="167" fontId="0" fillId="2" borderId="0" xfId="0" applyNumberFormat="1" applyFont="1" applyFill="1"/>
    <xf numFmtId="0" fontId="0" fillId="0" borderId="0" xfId="0" applyFont="1" applyBorder="1"/>
    <xf numFmtId="10" fontId="0" fillId="2" borderId="0" xfId="0" applyNumberFormat="1" applyFont="1" applyFill="1"/>
    <xf numFmtId="0" fontId="3" fillId="0" borderId="0" xfId="0" applyFont="1" applyBorder="1"/>
    <xf numFmtId="0" fontId="3" fillId="0" borderId="0" xfId="0" applyFont="1" applyBorder="1" applyAlignment="1">
      <alignment horizontal="left"/>
    </xf>
    <xf numFmtId="0" fontId="3" fillId="0" borderId="0" xfId="0" quotePrefix="1" applyFont="1" applyBorder="1" applyAlignment="1">
      <alignment horizontal="left"/>
    </xf>
    <xf numFmtId="0" fontId="0" fillId="0" borderId="1" xfId="0" applyFont="1" applyBorder="1"/>
    <xf numFmtId="10" fontId="0" fillId="0" borderId="0" xfId="0" applyNumberFormat="1" applyFont="1"/>
    <xf numFmtId="9" fontId="0" fillId="0" borderId="0" xfId="0" applyNumberFormat="1" applyFont="1" applyFill="1"/>
    <xf numFmtId="0" fontId="0" fillId="0" borderId="0" xfId="0" applyFont="1" applyFill="1" applyBorder="1"/>
    <xf numFmtId="0" fontId="1" fillId="0" borderId="0" xfId="0" applyFont="1" applyFill="1" applyBorder="1"/>
    <xf numFmtId="164" fontId="0" fillId="0" borderId="0" xfId="0" applyNumberFormat="1" applyFont="1"/>
    <xf numFmtId="0" fontId="3" fillId="0" borderId="0" xfId="0" applyFont="1" applyFill="1" applyBorder="1"/>
    <xf numFmtId="10" fontId="0" fillId="0" borderId="0" xfId="2" applyNumberFormat="1" applyFont="1"/>
    <xf numFmtId="166" fontId="0" fillId="0" borderId="0" xfId="1" applyFont="1"/>
    <xf numFmtId="166" fontId="0" fillId="0" borderId="0" xfId="0" applyNumberFormat="1" applyFont="1"/>
    <xf numFmtId="9" fontId="0" fillId="0" borderId="0" xfId="0" applyNumberFormat="1"/>
    <xf numFmtId="166" fontId="0" fillId="0" borderId="0" xfId="0" applyNumberFormat="1"/>
    <xf numFmtId="10" fontId="0" fillId="0" borderId="0" xfId="0" applyNumberFormat="1"/>
    <xf numFmtId="170" fontId="0" fillId="0" borderId="0" xfId="0" applyNumberFormat="1"/>
    <xf numFmtId="169" fontId="0" fillId="0" borderId="0" xfId="0" applyNumberFormat="1"/>
    <xf numFmtId="10" fontId="0" fillId="4" borderId="0" xfId="0" applyNumberFormat="1" applyFont="1" applyFill="1"/>
    <xf numFmtId="170" fontId="0" fillId="0" borderId="3" xfId="0" applyNumberFormat="1" applyBorder="1"/>
    <xf numFmtId="170" fontId="0" fillId="0" borderId="4" xfId="0" applyNumberFormat="1" applyBorder="1"/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/>
    <xf numFmtId="9" fontId="0" fillId="0" borderId="6" xfId="0" applyNumberFormat="1" applyBorder="1"/>
    <xf numFmtId="10" fontId="0" fillId="0" borderId="6" xfId="0" applyNumberFormat="1" applyBorder="1"/>
    <xf numFmtId="10" fontId="0" fillId="3" borderId="6" xfId="0" applyNumberFormat="1" applyFill="1" applyBorder="1"/>
    <xf numFmtId="10" fontId="0" fillId="0" borderId="7" xfId="0" applyNumberFormat="1" applyBorder="1"/>
    <xf numFmtId="170" fontId="1" fillId="0" borderId="5" xfId="0" applyNumberFormat="1" applyFont="1" applyBorder="1" applyAlignment="1">
      <alignment horizontal="center" vertical="center"/>
    </xf>
    <xf numFmtId="169" fontId="0" fillId="0" borderId="6" xfId="0" applyNumberFormat="1" applyBorder="1"/>
    <xf numFmtId="169" fontId="0" fillId="3" borderId="6" xfId="0" applyNumberFormat="1" applyFill="1" applyBorder="1"/>
    <xf numFmtId="169" fontId="0" fillId="0" borderId="7" xfId="0" applyNumberFormat="1" applyBorder="1"/>
    <xf numFmtId="165" fontId="1" fillId="4" borderId="0" xfId="0" applyNumberFormat="1" applyFont="1" applyFill="1"/>
    <xf numFmtId="170" fontId="1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1028700</xdr:colOff>
          <xdr:row>0</xdr:row>
          <xdr:rowOff>28575</xdr:rowOff>
        </xdr:from>
        <xdr:to>
          <xdr:col>15</xdr:col>
          <xdr:colOff>142875</xdr:colOff>
          <xdr:row>0</xdr:row>
          <xdr:rowOff>533400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5 year NPVs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2"/>
  <sheetViews>
    <sheetView workbookViewId="0">
      <selection activeCell="G29" sqref="G29"/>
    </sheetView>
  </sheetViews>
  <sheetFormatPr defaultRowHeight="15" x14ac:dyDescent="0.25"/>
  <cols>
    <col min="1" max="1" width="65.7109375" customWidth="1"/>
    <col min="2" max="2" width="16.85546875" customWidth="1"/>
    <col min="3" max="3" width="16.7109375" customWidth="1"/>
    <col min="4" max="4" width="8.85546875" customWidth="1"/>
  </cols>
  <sheetData>
    <row r="1" spans="1:5" x14ac:dyDescent="0.25">
      <c r="A1" s="1" t="s">
        <v>19</v>
      </c>
      <c r="B1" s="5"/>
      <c r="C1" s="5"/>
      <c r="D1" s="5"/>
      <c r="E1" s="5"/>
    </row>
    <row r="2" spans="1:5" x14ac:dyDescent="0.25">
      <c r="A2" s="5"/>
      <c r="B2" s="5"/>
      <c r="C2" s="5"/>
      <c r="D2" s="5"/>
      <c r="E2" s="5"/>
    </row>
    <row r="3" spans="1:5" x14ac:dyDescent="0.25">
      <c r="A3" s="1" t="s">
        <v>2</v>
      </c>
      <c r="B3" s="5"/>
      <c r="C3" s="1" t="s">
        <v>1</v>
      </c>
      <c r="D3" s="5"/>
    </row>
    <row r="4" spans="1:5" x14ac:dyDescent="0.25">
      <c r="A4" s="6" t="s">
        <v>17</v>
      </c>
      <c r="B4" s="14">
        <v>50440000</v>
      </c>
      <c r="C4" s="20" t="s">
        <v>40</v>
      </c>
      <c r="D4" s="5"/>
    </row>
    <row r="5" spans="1:5" x14ac:dyDescent="0.25">
      <c r="A5" s="7" t="s">
        <v>16</v>
      </c>
      <c r="B5" s="15">
        <v>-0.02</v>
      </c>
      <c r="C5" s="20" t="s">
        <v>7</v>
      </c>
      <c r="D5" s="5"/>
    </row>
    <row r="6" spans="1:5" x14ac:dyDescent="0.25">
      <c r="A6" s="3" t="s">
        <v>11</v>
      </c>
      <c r="B6" s="16">
        <v>520000</v>
      </c>
      <c r="C6" s="21" t="s">
        <v>38</v>
      </c>
      <c r="D6" s="5"/>
    </row>
    <row r="7" spans="1:5" x14ac:dyDescent="0.25">
      <c r="A7" s="3" t="s">
        <v>13</v>
      </c>
      <c r="B7" s="17">
        <v>66.930000000000007</v>
      </c>
      <c r="C7" s="18" t="s">
        <v>37</v>
      </c>
      <c r="D7" s="5"/>
    </row>
    <row r="8" spans="1:5" x14ac:dyDescent="0.25">
      <c r="A8" s="3" t="s">
        <v>22</v>
      </c>
      <c r="B8" s="17">
        <f>B7+4.69</f>
        <v>71.62</v>
      </c>
      <c r="C8" s="18" t="s">
        <v>37</v>
      </c>
      <c r="D8" s="5"/>
    </row>
    <row r="9" spans="1:5" x14ac:dyDescent="0.25">
      <c r="A9" s="4" t="s">
        <v>12</v>
      </c>
      <c r="B9" s="15">
        <v>0.12</v>
      </c>
      <c r="C9" s="22" t="s">
        <v>39</v>
      </c>
      <c r="D9" s="5"/>
    </row>
    <row r="10" spans="1:5" x14ac:dyDescent="0.25">
      <c r="A10" s="4"/>
      <c r="B10" s="25"/>
      <c r="C10" s="22"/>
      <c r="D10" s="5"/>
    </row>
    <row r="11" spans="1:5" x14ac:dyDescent="0.25">
      <c r="A11" s="8" t="s">
        <v>15</v>
      </c>
      <c r="B11" s="16">
        <v>18744303</v>
      </c>
      <c r="C11" s="20" t="s">
        <v>0</v>
      </c>
      <c r="D11" s="5"/>
    </row>
    <row r="12" spans="1:5" x14ac:dyDescent="0.25">
      <c r="A12" s="7" t="s">
        <v>14</v>
      </c>
      <c r="B12" s="15">
        <v>0.04</v>
      </c>
      <c r="C12" s="20" t="s">
        <v>0</v>
      </c>
      <c r="D12" s="5"/>
    </row>
    <row r="13" spans="1:5" x14ac:dyDescent="0.25">
      <c r="A13" s="8" t="s">
        <v>20</v>
      </c>
      <c r="B13" s="15">
        <v>0.05</v>
      </c>
      <c r="C13" s="22" t="s">
        <v>37</v>
      </c>
      <c r="E13" s="5"/>
    </row>
    <row r="14" spans="1:5" x14ac:dyDescent="0.25">
      <c r="A14" s="8" t="s">
        <v>6</v>
      </c>
      <c r="B14" s="14">
        <v>750000</v>
      </c>
      <c r="C14" s="20" t="s">
        <v>37</v>
      </c>
      <c r="E14" s="5"/>
    </row>
    <row r="15" spans="1:5" x14ac:dyDescent="0.25">
      <c r="A15" s="7" t="s">
        <v>3</v>
      </c>
      <c r="B15" s="14">
        <v>900000</v>
      </c>
      <c r="C15" s="20" t="s">
        <v>37</v>
      </c>
      <c r="E15" s="5"/>
    </row>
    <row r="16" spans="1:5" x14ac:dyDescent="0.25">
      <c r="A16" s="8" t="s">
        <v>4</v>
      </c>
      <c r="B16" s="19">
        <v>2.5000000000000001E-3</v>
      </c>
      <c r="C16" s="20" t="s">
        <v>7</v>
      </c>
      <c r="E16" s="5"/>
    </row>
    <row r="17" spans="1:5" x14ac:dyDescent="0.25">
      <c r="A17" s="8" t="s">
        <v>5</v>
      </c>
      <c r="B17" s="19">
        <v>2.5000000000000001E-3</v>
      </c>
      <c r="C17" s="20" t="s">
        <v>7</v>
      </c>
      <c r="E17" s="5"/>
    </row>
    <row r="18" spans="1:5" x14ac:dyDescent="0.25">
      <c r="A18" s="5"/>
      <c r="B18" s="5"/>
      <c r="C18" s="5"/>
      <c r="D18" s="5"/>
      <c r="E18" s="5"/>
    </row>
    <row r="19" spans="1:5" x14ac:dyDescent="0.25">
      <c r="A19" s="9" t="s">
        <v>9</v>
      </c>
      <c r="B19" s="5"/>
      <c r="C19" s="5"/>
      <c r="D19" s="5"/>
      <c r="E19" s="5"/>
    </row>
    <row r="20" spans="1:5" x14ac:dyDescent="0.25">
      <c r="A20" s="5" t="s">
        <v>10</v>
      </c>
      <c r="B20" s="13">
        <f>B4/B6</f>
        <v>97</v>
      </c>
      <c r="C20" s="29" t="s">
        <v>41</v>
      </c>
      <c r="D20" s="5"/>
      <c r="E20" s="5"/>
    </row>
    <row r="21" spans="1:5" x14ac:dyDescent="0.25">
      <c r="A21" s="5" t="s">
        <v>18</v>
      </c>
      <c r="B21" s="12">
        <f>B20-B7</f>
        <v>30.069999999999993</v>
      </c>
      <c r="C21" s="29" t="s">
        <v>42</v>
      </c>
      <c r="D21" s="5"/>
      <c r="E21" s="5"/>
    </row>
    <row r="22" spans="1:5" x14ac:dyDescent="0.25">
      <c r="A22" s="5" t="s">
        <v>8</v>
      </c>
      <c r="B22" s="12">
        <f>B20-B8</f>
        <v>25.379999999999995</v>
      </c>
      <c r="C22" s="29" t="s">
        <v>42</v>
      </c>
      <c r="D22" s="5"/>
      <c r="E2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8"/>
  <sheetViews>
    <sheetView tabSelected="1" workbookViewId="0">
      <selection activeCell="G16" sqref="G16"/>
    </sheetView>
  </sheetViews>
  <sheetFormatPr defaultRowHeight="15" x14ac:dyDescent="0.25"/>
  <cols>
    <col min="1" max="1" width="49" bestFit="1" customWidth="1"/>
    <col min="2" max="2" width="18" customWidth="1"/>
    <col min="3" max="8" width="15.85546875" bestFit="1" customWidth="1"/>
    <col min="11" max="11" width="30.28515625" customWidth="1"/>
    <col min="12" max="12" width="23.42578125" style="37" customWidth="1"/>
    <col min="13" max="13" width="15.5703125" style="36" bestFit="1" customWidth="1"/>
  </cols>
  <sheetData>
    <row r="1" spans="1:13" ht="45" x14ac:dyDescent="0.25">
      <c r="A1" s="1" t="s">
        <v>34</v>
      </c>
      <c r="B1" s="5"/>
      <c r="C1" s="5"/>
      <c r="D1" s="5"/>
      <c r="E1" s="5"/>
      <c r="F1" s="5"/>
      <c r="G1" s="5"/>
      <c r="H1" s="5"/>
      <c r="I1" s="5"/>
      <c r="J1" s="41" t="s">
        <v>50</v>
      </c>
      <c r="K1" s="42" t="s">
        <v>53</v>
      </c>
      <c r="L1" s="42" t="s">
        <v>51</v>
      </c>
      <c r="M1" s="49" t="s">
        <v>52</v>
      </c>
    </row>
    <row r="2" spans="1:13" x14ac:dyDescent="0.25">
      <c r="A2" s="5"/>
      <c r="B2" s="5"/>
      <c r="C2" s="5">
        <v>2005</v>
      </c>
      <c r="D2" s="5">
        <v>2006</v>
      </c>
      <c r="E2" s="5">
        <v>2007</v>
      </c>
      <c r="F2" s="5">
        <v>2008</v>
      </c>
      <c r="G2" s="5">
        <v>2009</v>
      </c>
      <c r="H2" s="5">
        <v>2010</v>
      </c>
      <c r="I2" s="5"/>
      <c r="J2" s="43">
        <v>1</v>
      </c>
      <c r="K2" s="45">
        <v>0</v>
      </c>
      <c r="L2" s="50">
        <v>0</v>
      </c>
      <c r="M2" s="39">
        <v>-3913941.439253361</v>
      </c>
    </row>
    <row r="3" spans="1:13" x14ac:dyDescent="0.25">
      <c r="A3" s="1" t="s">
        <v>21</v>
      </c>
      <c r="B3" s="5"/>
      <c r="C3" s="5"/>
      <c r="D3" s="5"/>
      <c r="E3" s="5"/>
      <c r="F3" s="5"/>
      <c r="G3" s="5"/>
      <c r="H3" s="5"/>
      <c r="I3" s="5"/>
      <c r="J3" s="43">
        <v>2</v>
      </c>
      <c r="K3" s="45">
        <v>0</v>
      </c>
      <c r="L3" s="50">
        <v>2.5000000000000001E-2</v>
      </c>
      <c r="M3" s="39">
        <v>-5246802.8152909568</v>
      </c>
    </row>
    <row r="4" spans="1:13" x14ac:dyDescent="0.25">
      <c r="A4" s="2" t="s">
        <v>29</v>
      </c>
      <c r="B4" s="5"/>
      <c r="C4" s="5"/>
      <c r="D4" s="5"/>
      <c r="E4" s="5"/>
      <c r="F4" s="5"/>
      <c r="G4" s="5"/>
      <c r="H4" s="5"/>
      <c r="I4" s="5"/>
      <c r="J4" s="43">
        <v>3</v>
      </c>
      <c r="K4" s="45">
        <v>0</v>
      </c>
      <c r="L4" s="50">
        <v>0.05</v>
      </c>
      <c r="M4" s="39">
        <v>-6579664.1913285591</v>
      </c>
    </row>
    <row r="5" spans="1:13" x14ac:dyDescent="0.25">
      <c r="A5" s="7" t="s">
        <v>23</v>
      </c>
      <c r="B5" s="11">
        <f>Input!B12</f>
        <v>0.04</v>
      </c>
      <c r="C5" s="5"/>
      <c r="D5" s="5"/>
      <c r="E5" s="5"/>
      <c r="F5" s="5"/>
      <c r="G5" s="5"/>
      <c r="H5" s="5"/>
      <c r="I5" s="5"/>
      <c r="J5" s="43">
        <v>4</v>
      </c>
      <c r="K5" s="45">
        <v>0</v>
      </c>
      <c r="L5" s="50">
        <v>7.4999999999999997E-2</v>
      </c>
      <c r="M5" s="39">
        <v>-7912525.5673661521</v>
      </c>
    </row>
    <row r="6" spans="1:13" x14ac:dyDescent="0.25">
      <c r="A6" s="23" t="s">
        <v>25</v>
      </c>
      <c r="B6" s="5"/>
      <c r="C6" s="10">
        <f>Input!B11</f>
        <v>18744303</v>
      </c>
      <c r="D6" s="10">
        <f>C6*(1+$B$5)</f>
        <v>19494075.120000001</v>
      </c>
      <c r="E6" s="10">
        <f t="shared" ref="E6:H6" si="0">D6*(1+$B$5)</f>
        <v>20273838.1248</v>
      </c>
      <c r="F6" s="10">
        <f t="shared" si="0"/>
        <v>21084791.649792001</v>
      </c>
      <c r="G6" s="10">
        <f t="shared" si="0"/>
        <v>21928183.315783683</v>
      </c>
      <c r="H6" s="10">
        <f t="shared" si="0"/>
        <v>22805310.648415033</v>
      </c>
      <c r="I6" s="5"/>
      <c r="J6" s="43">
        <v>5</v>
      </c>
      <c r="K6" s="45">
        <v>0</v>
      </c>
      <c r="L6" s="50">
        <v>0.1</v>
      </c>
      <c r="M6" s="39">
        <v>-9245386.9434037451</v>
      </c>
    </row>
    <row r="7" spans="1:13" x14ac:dyDescent="0.25">
      <c r="A7" s="8" t="s">
        <v>24</v>
      </c>
      <c r="B7" s="38">
        <v>2.5000000000000001E-3</v>
      </c>
      <c r="I7" s="5"/>
      <c r="J7" s="43">
        <v>6</v>
      </c>
      <c r="K7" s="46">
        <v>1E-3</v>
      </c>
      <c r="L7" s="50">
        <v>0</v>
      </c>
      <c r="M7" s="39">
        <v>1547777.5678181218</v>
      </c>
    </row>
    <row r="8" spans="1:13" ht="15" customHeight="1" x14ac:dyDescent="0.25">
      <c r="A8" s="23" t="s">
        <v>26</v>
      </c>
      <c r="B8" s="5"/>
      <c r="C8" s="24"/>
      <c r="D8" s="30">
        <f>$B$7</f>
        <v>2.5000000000000001E-3</v>
      </c>
      <c r="E8" s="30">
        <f t="shared" ref="E8:H8" si="1">D8+$B$7</f>
        <v>5.0000000000000001E-3</v>
      </c>
      <c r="F8" s="30">
        <f t="shared" si="1"/>
        <v>7.4999999999999997E-3</v>
      </c>
      <c r="G8" s="30">
        <f t="shared" si="1"/>
        <v>0.01</v>
      </c>
      <c r="H8" s="30">
        <f t="shared" si="1"/>
        <v>1.2500000000000001E-2</v>
      </c>
      <c r="I8" s="5"/>
      <c r="J8" s="43">
        <v>7</v>
      </c>
      <c r="K8" s="46">
        <v>1E-3</v>
      </c>
      <c r="L8" s="50">
        <v>2.5000000000000001E-2</v>
      </c>
      <c r="M8" s="39">
        <v>214916.19178052578</v>
      </c>
    </row>
    <row r="9" spans="1:13" x14ac:dyDescent="0.25">
      <c r="A9" s="23" t="s">
        <v>27</v>
      </c>
      <c r="B9" s="5"/>
      <c r="C9" s="10">
        <f>C8*C6</f>
        <v>0</v>
      </c>
      <c r="D9" s="10">
        <f t="shared" ref="D9:H9" si="2">D8*D6</f>
        <v>48735.187800000007</v>
      </c>
      <c r="E9" s="10">
        <f t="shared" si="2"/>
        <v>101369.19062400001</v>
      </c>
      <c r="F9" s="10">
        <f t="shared" si="2"/>
        <v>158135.93737343999</v>
      </c>
      <c r="G9" s="10">
        <f t="shared" si="2"/>
        <v>219281.83315783684</v>
      </c>
      <c r="H9" s="10">
        <f t="shared" si="2"/>
        <v>285066.38310518791</v>
      </c>
      <c r="I9" s="5"/>
      <c r="J9" s="43">
        <v>8</v>
      </c>
      <c r="K9" s="46">
        <v>1E-3</v>
      </c>
      <c r="L9" s="50">
        <v>0.05</v>
      </c>
      <c r="M9" s="39">
        <v>-1117945.1842570757</v>
      </c>
    </row>
    <row r="10" spans="1:13" x14ac:dyDescent="0.25">
      <c r="A10" s="23" t="s">
        <v>28</v>
      </c>
      <c r="B10" s="5">
        <f>Input!B22</f>
        <v>25.379999999999995</v>
      </c>
      <c r="D10" s="5"/>
      <c r="E10" s="5"/>
      <c r="F10" s="5"/>
      <c r="G10" s="5"/>
      <c r="H10" s="5"/>
      <c r="I10" s="5"/>
      <c r="J10" s="43">
        <v>9</v>
      </c>
      <c r="K10" s="46">
        <v>1E-3</v>
      </c>
      <c r="L10" s="50">
        <v>7.4999999999999997E-2</v>
      </c>
      <c r="M10" s="39">
        <v>-2450806.5602946682</v>
      </c>
    </row>
    <row r="11" spans="1:13" x14ac:dyDescent="0.25">
      <c r="A11" s="23" t="s">
        <v>30</v>
      </c>
      <c r="B11" s="5"/>
      <c r="C11" s="31">
        <f>B10*C9</f>
        <v>0</v>
      </c>
      <c r="D11" s="13">
        <f>B10*D9</f>
        <v>1236899.0663639999</v>
      </c>
      <c r="E11" s="13">
        <f>B10*E9</f>
        <v>2572750.0580371199</v>
      </c>
      <c r="F11" s="13">
        <f>B10*F9</f>
        <v>4013490.0905379062</v>
      </c>
      <c r="G11" s="13">
        <f>B10*G9</f>
        <v>5565372.9255458983</v>
      </c>
      <c r="H11" s="13">
        <f>B10*H9</f>
        <v>7234984.803209668</v>
      </c>
      <c r="I11" s="5"/>
      <c r="J11" s="43">
        <v>10</v>
      </c>
      <c r="K11" s="46">
        <v>1E-3</v>
      </c>
      <c r="L11" s="50">
        <v>0.1</v>
      </c>
      <c r="M11" s="39">
        <v>-3783667.936332264</v>
      </c>
    </row>
    <row r="12" spans="1:13" x14ac:dyDescent="0.25">
      <c r="A12" s="5"/>
      <c r="B12" s="5"/>
      <c r="C12" s="5"/>
      <c r="D12" s="5"/>
      <c r="E12" s="5"/>
      <c r="F12" s="5"/>
      <c r="G12" s="5"/>
      <c r="H12" s="5"/>
      <c r="I12" s="5"/>
      <c r="J12" s="43">
        <v>11</v>
      </c>
      <c r="K12" s="46">
        <v>2.5000000000000001E-3</v>
      </c>
      <c r="L12" s="50">
        <v>0</v>
      </c>
      <c r="M12" s="39">
        <v>9740356.0784253441</v>
      </c>
    </row>
    <row r="13" spans="1:13" x14ac:dyDescent="0.25">
      <c r="A13" s="27" t="s">
        <v>36</v>
      </c>
      <c r="C13" s="31"/>
      <c r="D13" s="31">
        <f>Input!B15+Input!B14</f>
        <v>1650000</v>
      </c>
      <c r="E13" s="31">
        <f>Input!B15</f>
        <v>900000</v>
      </c>
      <c r="F13" s="31">
        <f>Input!B15</f>
        <v>900000</v>
      </c>
      <c r="G13" s="31">
        <f>Input!B15</f>
        <v>900000</v>
      </c>
      <c r="H13" s="31">
        <f>Input!B15</f>
        <v>900000</v>
      </c>
      <c r="I13" s="5"/>
      <c r="J13" s="43">
        <v>12</v>
      </c>
      <c r="K13" s="46">
        <v>2.5000000000000001E-3</v>
      </c>
      <c r="L13" s="50">
        <v>2.5000000000000001E-2</v>
      </c>
      <c r="M13" s="39">
        <v>8407494.7023877464</v>
      </c>
    </row>
    <row r="14" spans="1:13" x14ac:dyDescent="0.25">
      <c r="A14" s="8"/>
      <c r="B14" s="5"/>
      <c r="C14" s="5"/>
      <c r="D14" s="28"/>
      <c r="E14" s="28"/>
      <c r="F14" s="28"/>
      <c r="G14" s="28"/>
      <c r="H14" s="28"/>
      <c r="I14" s="5"/>
      <c r="J14" s="43">
        <v>13</v>
      </c>
      <c r="K14" s="47">
        <v>2.5000000000000001E-3</v>
      </c>
      <c r="L14" s="51">
        <v>0.05</v>
      </c>
      <c r="M14" s="39">
        <v>7074633.3263501441</v>
      </c>
    </row>
    <row r="15" spans="1:13" x14ac:dyDescent="0.25">
      <c r="A15" s="8"/>
      <c r="B15" s="5"/>
      <c r="C15" s="5"/>
      <c r="D15" s="28"/>
      <c r="E15" s="28"/>
      <c r="F15" s="28"/>
      <c r="G15" s="28"/>
      <c r="H15" s="28"/>
      <c r="I15" s="5"/>
      <c r="J15" s="43">
        <v>14</v>
      </c>
      <c r="K15" s="46">
        <v>2.5000000000000001E-3</v>
      </c>
      <c r="L15" s="50">
        <v>7.4999999999999997E-2</v>
      </c>
      <c r="M15" s="39">
        <v>5741771.9503125539</v>
      </c>
    </row>
    <row r="16" spans="1:13" x14ac:dyDescent="0.25">
      <c r="A16" s="20"/>
      <c r="B16" s="5"/>
      <c r="C16" s="5"/>
      <c r="D16" s="28"/>
      <c r="E16" s="28"/>
      <c r="F16" s="28"/>
      <c r="G16" s="28"/>
      <c r="H16" s="28"/>
      <c r="I16" s="5"/>
      <c r="J16" s="43">
        <v>15</v>
      </c>
      <c r="K16" s="46">
        <v>2.5000000000000001E-3</v>
      </c>
      <c r="L16" s="50">
        <v>0.1</v>
      </c>
      <c r="M16" s="39">
        <v>4408910.5742749562</v>
      </c>
    </row>
    <row r="17" spans="1:13" x14ac:dyDescent="0.25">
      <c r="A17" s="5"/>
      <c r="B17" s="5"/>
      <c r="C17" s="5"/>
      <c r="D17" s="5"/>
      <c r="E17" s="5"/>
      <c r="F17" s="5"/>
      <c r="G17" s="5"/>
      <c r="H17" s="5"/>
      <c r="I17" s="5"/>
      <c r="J17" s="43">
        <v>16</v>
      </c>
      <c r="K17" s="46">
        <v>4.0000000000000001E-3</v>
      </c>
      <c r="L17" s="50">
        <v>0</v>
      </c>
      <c r="M17" s="39">
        <v>17932934.589032564</v>
      </c>
    </row>
    <row r="18" spans="1:13" x14ac:dyDescent="0.25">
      <c r="A18" s="1" t="s">
        <v>32</v>
      </c>
      <c r="B18" s="5"/>
      <c r="C18" s="5"/>
      <c r="D18" s="5"/>
      <c r="E18" s="5"/>
      <c r="F18" s="5"/>
      <c r="G18" s="5"/>
      <c r="H18" s="5"/>
      <c r="I18" s="5"/>
      <c r="J18" s="43">
        <v>17</v>
      </c>
      <c r="K18" s="46">
        <v>4.0000000000000001E-3</v>
      </c>
      <c r="L18" s="50">
        <v>2.5000000000000001E-2</v>
      </c>
      <c r="M18" s="39">
        <v>16600073.212994972</v>
      </c>
    </row>
    <row r="19" spans="1:13" x14ac:dyDescent="0.25">
      <c r="A19" s="7" t="s">
        <v>16</v>
      </c>
      <c r="B19" s="11">
        <v>0.02</v>
      </c>
      <c r="C19" s="5"/>
      <c r="D19" s="5"/>
      <c r="E19" s="5"/>
      <c r="F19" s="5"/>
      <c r="G19" s="5"/>
      <c r="H19" s="5"/>
      <c r="I19" s="5"/>
      <c r="J19" s="43">
        <v>18</v>
      </c>
      <c r="K19" s="46">
        <v>4.0000000000000001E-3</v>
      </c>
      <c r="L19" s="50">
        <v>0.05</v>
      </c>
      <c r="M19" s="39">
        <v>15267211.836957371</v>
      </c>
    </row>
    <row r="20" spans="1:13" x14ac:dyDescent="0.25">
      <c r="A20" s="5" t="s">
        <v>31</v>
      </c>
      <c r="B20" s="5"/>
      <c r="C20" s="10">
        <f>Input!B6</f>
        <v>520000</v>
      </c>
      <c r="D20" s="10">
        <f>C20*0.98</f>
        <v>509600</v>
      </c>
      <c r="E20" s="10">
        <f>D20*0.98</f>
        <v>499408</v>
      </c>
      <c r="F20" s="10">
        <f>E20*0.98</f>
        <v>489419.83999999997</v>
      </c>
      <c r="G20" s="10">
        <f>F20*0.98</f>
        <v>479631.44319999998</v>
      </c>
      <c r="H20" s="10">
        <f>G20*0.98</f>
        <v>470038.81433599995</v>
      </c>
      <c r="I20" s="5"/>
      <c r="J20" s="43">
        <v>19</v>
      </c>
      <c r="K20" s="46">
        <v>4.0000000000000001E-3</v>
      </c>
      <c r="L20" s="50">
        <v>7.4999999999999997E-2</v>
      </c>
      <c r="M20" s="39">
        <v>13934350.460919779</v>
      </c>
    </row>
    <row r="21" spans="1:13" x14ac:dyDescent="0.25">
      <c r="A21" s="5" t="s">
        <v>45</v>
      </c>
      <c r="B21" s="5">
        <f>Input!B21</f>
        <v>30.069999999999993</v>
      </c>
      <c r="C21" s="10"/>
      <c r="D21" s="10"/>
      <c r="E21" s="10"/>
      <c r="F21" s="10"/>
      <c r="G21" s="10"/>
      <c r="H21" s="10"/>
      <c r="I21" s="5"/>
      <c r="J21" s="43">
        <v>20</v>
      </c>
      <c r="K21" s="46">
        <v>4.0000000000000001E-3</v>
      </c>
      <c r="L21" s="50">
        <v>0.1</v>
      </c>
      <c r="M21" s="39">
        <v>12601489.084882179</v>
      </c>
    </row>
    <row r="22" spans="1:13" x14ac:dyDescent="0.25">
      <c r="A22" s="5" t="s">
        <v>44</v>
      </c>
      <c r="B22" s="5"/>
      <c r="C22" s="31">
        <f>B21*C20</f>
        <v>15636399.999999996</v>
      </c>
      <c r="D22" s="31">
        <f>B21*D20</f>
        <v>15323671.999999996</v>
      </c>
      <c r="E22" s="31">
        <f>B21*E20</f>
        <v>15017198.559999997</v>
      </c>
      <c r="F22" s="31">
        <f>B21*F20</f>
        <v>14716854.588799996</v>
      </c>
      <c r="G22" s="31">
        <f>B21*G20</f>
        <v>14422517.497023996</v>
      </c>
      <c r="H22" s="31">
        <f>B21*H20</f>
        <v>14134067.147083515</v>
      </c>
      <c r="I22" s="5"/>
      <c r="J22" s="43">
        <v>21</v>
      </c>
      <c r="K22" s="46">
        <v>5.0000000000000001E-3</v>
      </c>
      <c r="L22" s="50">
        <v>0</v>
      </c>
      <c r="M22" s="39">
        <v>23394653.596104048</v>
      </c>
    </row>
    <row r="23" spans="1:13" x14ac:dyDescent="0.25">
      <c r="A23" s="8" t="s">
        <v>20</v>
      </c>
      <c r="B23" s="38">
        <v>0.05</v>
      </c>
      <c r="C23" s="5"/>
      <c r="D23" s="5"/>
      <c r="E23" s="5"/>
      <c r="F23" s="5"/>
      <c r="G23" s="5"/>
      <c r="H23" s="5"/>
      <c r="I23" s="5"/>
      <c r="J23" s="43">
        <v>22</v>
      </c>
      <c r="K23" s="46">
        <v>5.0000000000000001E-3</v>
      </c>
      <c r="L23" s="50">
        <v>2.5000000000000001E-2</v>
      </c>
      <c r="M23" s="39">
        <v>22061792.220066454</v>
      </c>
    </row>
    <row r="24" spans="1:13" x14ac:dyDescent="0.25">
      <c r="A24" s="5" t="s">
        <v>43</v>
      </c>
      <c r="B24" s="5"/>
      <c r="C24" s="10"/>
      <c r="D24" s="10">
        <f t="shared" ref="D24:H24" si="3">D20*(1-$B$23)</f>
        <v>484120</v>
      </c>
      <c r="E24" s="10">
        <f t="shared" si="3"/>
        <v>474437.6</v>
      </c>
      <c r="F24" s="10">
        <f t="shared" si="3"/>
        <v>464948.84799999994</v>
      </c>
      <c r="G24" s="10">
        <f t="shared" si="3"/>
        <v>455649.87103999994</v>
      </c>
      <c r="H24" s="10">
        <f t="shared" si="3"/>
        <v>446536.87361919991</v>
      </c>
      <c r="I24" s="5"/>
      <c r="J24" s="43">
        <v>23</v>
      </c>
      <c r="K24" s="46">
        <v>5.0000000000000001E-3</v>
      </c>
      <c r="L24" s="50">
        <v>0.05</v>
      </c>
      <c r="M24" s="39">
        <v>20728930.844028845</v>
      </c>
    </row>
    <row r="25" spans="1:13" x14ac:dyDescent="0.25">
      <c r="A25" s="26" t="s">
        <v>46</v>
      </c>
      <c r="B25" s="12"/>
      <c r="C25" s="31"/>
      <c r="D25" s="31">
        <f>B21*D24</f>
        <v>14557488.399999997</v>
      </c>
      <c r="E25" s="31">
        <f>B21*E24</f>
        <v>14266338.631999996</v>
      </c>
      <c r="F25" s="31">
        <f>B21*F24</f>
        <v>13981011.859359995</v>
      </c>
      <c r="G25" s="31">
        <f>B21*G24</f>
        <v>13701391.622172795</v>
      </c>
      <c r="H25" s="31">
        <f>B21*H24</f>
        <v>13427363.789729338</v>
      </c>
      <c r="I25" s="5"/>
      <c r="J25" s="43">
        <v>24</v>
      </c>
      <c r="K25" s="46">
        <v>5.0000000000000001E-3</v>
      </c>
      <c r="L25" s="50">
        <v>7.4999999999999997E-2</v>
      </c>
      <c r="M25" s="39">
        <v>19396069.467991255</v>
      </c>
    </row>
    <row r="26" spans="1:13" x14ac:dyDescent="0.25">
      <c r="A26" s="26"/>
      <c r="B26" s="5"/>
      <c r="C26" s="5"/>
      <c r="D26" s="13"/>
      <c r="E26" s="13"/>
      <c r="F26" s="13"/>
      <c r="G26" s="13"/>
      <c r="H26" s="13"/>
      <c r="I26" s="5"/>
      <c r="J26" s="44">
        <v>25</v>
      </c>
      <c r="K26" s="48">
        <v>5.0000000000000001E-3</v>
      </c>
      <c r="L26" s="52">
        <v>0.1</v>
      </c>
      <c r="M26" s="40">
        <v>18063208.091953661</v>
      </c>
    </row>
    <row r="27" spans="1:13" x14ac:dyDescent="0.25">
      <c r="A27" s="26"/>
      <c r="B27" s="5"/>
      <c r="C27" s="5"/>
      <c r="D27" s="13"/>
      <c r="E27" s="13"/>
      <c r="F27" s="13"/>
      <c r="G27" s="13"/>
      <c r="H27" s="13"/>
      <c r="I27" s="5"/>
    </row>
    <row r="28" spans="1:13" x14ac:dyDescent="0.25">
      <c r="A28" s="27" t="s">
        <v>35</v>
      </c>
      <c r="B28" s="5"/>
      <c r="C28" s="5"/>
      <c r="D28" s="5"/>
      <c r="E28" s="5"/>
      <c r="F28" s="5"/>
      <c r="G28" s="5"/>
      <c r="H28" s="5"/>
      <c r="I28" s="5"/>
    </row>
    <row r="29" spans="1:13" x14ac:dyDescent="0.25">
      <c r="A29" s="26" t="s">
        <v>33</v>
      </c>
      <c r="B29" s="5"/>
      <c r="C29" s="32"/>
      <c r="D29" s="32">
        <f t="shared" ref="D29:H29" si="4">D11-D13+D25-D22</f>
        <v>-1179284.533636</v>
      </c>
      <c r="E29" s="32">
        <f t="shared" si="4"/>
        <v>921890.13003711961</v>
      </c>
      <c r="F29" s="32">
        <f t="shared" si="4"/>
        <v>2377647.3610979039</v>
      </c>
      <c r="G29" s="32">
        <f t="shared" si="4"/>
        <v>3944247.0506946966</v>
      </c>
      <c r="H29" s="32">
        <f t="shared" si="4"/>
        <v>5628281.445855489</v>
      </c>
      <c r="I29" s="5"/>
    </row>
    <row r="30" spans="1:13" x14ac:dyDescent="0.25">
      <c r="A30" s="26" t="s">
        <v>47</v>
      </c>
      <c r="B30" s="33">
        <f>Input!B9</f>
        <v>0.12</v>
      </c>
    </row>
    <row r="31" spans="1:13" x14ac:dyDescent="0.25">
      <c r="A31" s="26" t="s">
        <v>49</v>
      </c>
      <c r="B31" s="54">
        <f>NPV(0.12,D29,E29)</f>
        <v>-318007.45187755139</v>
      </c>
    </row>
    <row r="32" spans="1:13" x14ac:dyDescent="0.25">
      <c r="A32" s="26" t="s">
        <v>48</v>
      </c>
      <c r="B32" s="53">
        <f>NPV(0.12,D29,E29,F29,G29,H29)</f>
        <v>7074633.3263501441</v>
      </c>
      <c r="C32" s="34"/>
    </row>
    <row r="38" spans="11:11" x14ac:dyDescent="0.25">
      <c r="K38" s="3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2_Click">
                <anchor moveWithCells="1" sizeWithCells="1">
                  <from>
                    <xdr:col>12</xdr:col>
                    <xdr:colOff>1028700</xdr:colOff>
                    <xdr:row>0</xdr:row>
                    <xdr:rowOff>28575</xdr:rowOff>
                  </from>
                  <to>
                    <xdr:col>15</xdr:col>
                    <xdr:colOff>142875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</vt:lpstr>
      <vt:lpstr>Financial projection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2021-10-13T03:37:56Z</dcterms:modified>
</cp:coreProperties>
</file>